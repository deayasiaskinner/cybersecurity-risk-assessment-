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e6153c0504c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egister" sheetId="1" r:id="R6c74e56ff65f4a74"/>
    <x:sheet xmlns:r="http://schemas.openxmlformats.org/officeDocument/2006/relationships" name="Methodology &amp; Notes" sheetId="2" r:id="R1f4cfd5ca71747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4465C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83F"/>
      </x:patternFill>
    </x:fill>
    <x:fill>
      <x:patternFill patternType="solid">
        <x:fgColor rgb="FFE8EEF5"/>
      </x:patternFill>
    </x:fill>
    <x:fill>
      <x:patternFill patternType="solid">
        <x:fgColor rgb="FF245A76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093f12d0c54b32" /><Relationship Type="http://schemas.openxmlformats.org/officeDocument/2006/relationships/theme" Target="/xl/theme/theme1.xml" Id="Re866dd67e9234289" /><Relationship Type="http://schemas.openxmlformats.org/officeDocument/2006/relationships/sharedStrings" Target="/xl/sharedStrings.xml" Id="R64c0b0b2133a4304" /><Relationship Type="http://schemas.openxmlformats.org/officeDocument/2006/relationships/worksheet" Target="/xl/worksheets/sheet1.xml" Id="R6c74e56ff65f4a74" /><Relationship Type="http://schemas.openxmlformats.org/officeDocument/2006/relationships/worksheet" Target="/xl/worksheets/sheet2.xml" Id="R1f4cfd5ca71747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7" hidden="0" customWidth="1"/>
    <x:col min="3" max="3" width="30" hidden="0" customWidth="1"/>
    <x:col min="4" max="4" width="44" hidden="0" customWidth="1"/>
    <x:col min="5" max="5" width="16" hidden="0" customWidth="1"/>
    <x:col min="6" max="6" width="15" hidden="0" customWidth="1"/>
    <x:col min="7" max="7" width="14" hidden="0" customWidth="1"/>
    <x:col min="8" max="8" width="16" hidden="0" customWidth="1"/>
    <x:col min="9" max="9" width="15" hidden="0" customWidth="1"/>
    <x:col min="10" max="10" width="49" hidden="0" customWidth="1"/>
    <x:col min="11" max="11" width="43" hidden="0" customWidth="1"/>
    <x:col min="12" max="12" width="25" hidden="0" customWidth="1"/>
  </x:cols>
  <x:sheetData>
    <x:row r="1" ht="35" customHeight="1">
      <x:c r="A1" s="3" t="str">
        <x:v>BLUE HARBOR SOLUTIONS | CYBERSECURITY RISK REGISTER</x:v>
      </x:c>
      <x:c r="B1" s="3" t="str">
        <x:v>BLUE HARBOR SOLUTIONS | CYBERSECURITY RISK REGISTER</x:v>
      </x:c>
      <x:c r="C1" s="3" t="str">
        <x:v>BLUE HARBOR SOLUTIONS | CYBERSECURITY RISK REGISTER</x:v>
      </x:c>
      <x:c r="D1" s="3" t="str">
        <x:v>BLUE HARBOR SOLUTIONS | CYBERSECURITY RISK REGISTER</x:v>
      </x:c>
      <x:c r="E1" s="3" t="str">
        <x:v>BLUE HARBOR SOLUTIONS | CYBERSECURITY RISK REGISTER</x:v>
      </x:c>
      <x:c r="F1" s="3" t="str">
        <x:v>BLUE HARBOR SOLUTIONS | CYBERSECURITY RISK REGISTER</x:v>
      </x:c>
      <x:c r="G1" s="3" t="str">
        <x:v>BLUE HARBOR SOLUTIONS | CYBERSECURITY RISK REGISTER</x:v>
      </x:c>
      <x:c r="H1" s="3" t="str">
        <x:v>BLUE HARBOR SOLUTIONS | CYBERSECURITY RISK REGISTER</x:v>
      </x:c>
      <x:c r="I1" s="3" t="str">
        <x:v>BLUE HARBOR SOLUTIONS | CYBERSECURITY RISK REGISTER</x:v>
      </x:c>
      <x:c r="J1" s="3" t="str">
        <x:v>BLUE HARBOR SOLUTIONS | CYBERSECURITY RISK REGISTER</x:v>
      </x:c>
      <x:c r="K1" s="3" t="str">
        <x:v>BLUE HARBOR SOLUTIONS | CYBERSECURITY RISK REGISTER</x:v>
      </x:c>
      <x:c r="L1" s="3" t="str">
        <x:v>BLUE HARBOR SOLUTIONS | CYBERSECURITY RISK REGISTER</x:v>
      </x:c>
    </x:row>
    <x:row r="2" ht="25" customHeight="1">
      <x:c r="A2" s="7" t="str">
        <x:v>Academic simulation | Original lab scoring preserved | 1=Low, 2=Moderate, 3=High</x:v>
      </x:c>
      <x:c r="B2" s="7" t="str">
        <x:v>Academic simulation | Original lab scoring preserved | 1=Low, 2=Moderate, 3=High</x:v>
      </x:c>
      <x:c r="C2" s="7" t="str">
        <x:v>Academic simulation | Original lab scoring preserved | 1=Low, 2=Moderate, 3=High</x:v>
      </x:c>
      <x:c r="D2" s="7" t="str">
        <x:v>Academic simulation | Original lab scoring preserved | 1=Low, 2=Moderate, 3=High</x:v>
      </x:c>
      <x:c r="E2" s="7" t="str">
        <x:v>Academic simulation | Original lab scoring preserved | 1=Low, 2=Moderate, 3=High</x:v>
      </x:c>
      <x:c r="F2" s="7" t="str">
        <x:v>Academic simulation | Original lab scoring preserved | 1=Low, 2=Moderate, 3=High</x:v>
      </x:c>
      <x:c r="G2" s="7" t="str">
        <x:v>Academic simulation | Original lab scoring preserved | 1=Low, 2=Moderate, 3=High</x:v>
      </x:c>
      <x:c r="H2" s="7" t="str">
        <x:v>Academic simulation | Original lab scoring preserved | 1=Low, 2=Moderate, 3=High</x:v>
      </x:c>
      <x:c r="I2" s="7" t="str">
        <x:v>Academic simulation | Original lab scoring preserved | 1=Low, 2=Moderate, 3=High</x:v>
      </x:c>
      <x:c r="J2" s="7" t="str">
        <x:v>Academic simulation | Original lab scoring preserved | 1=Low, 2=Moderate, 3=High</x:v>
      </x:c>
      <x:c r="K2" s="7" t="str">
        <x:v>Academic simulation | Original lab scoring preserved | 1=Low, 2=Moderate, 3=High</x:v>
      </x:c>
      <x:c r="L2" s="7" t="str">
        <x:v>Academic simulation | Original lab scoring preserved | 1=Low, 2=Moderate, 3=High</x:v>
      </x:c>
    </x:row>
    <x:row r="4" ht="32" customHeight="1">
      <x:c r="A4" s="12" t="str">
        <x:v>Risk ID</x:v>
      </x:c>
      <x:c r="B4" s="12" t="str">
        <x:v>Identified Risk</x:v>
      </x:c>
      <x:c r="C4" s="12" t="str">
        <x:v>Affected Assets</x:v>
      </x:c>
      <x:c r="D4" s="12" t="str">
        <x:v>Threat / Vulnerability</x:v>
      </x:c>
      <x:c r="E4" s="12" t="str">
        <x:v>Likelihood (1-3)</x:v>
      </x:c>
      <x:c r="F4" s="12" t="str">
        <x:v>Impact (1-3)</x:v>
      </x:c>
      <x:c r="G4" s="12" t="str">
        <x:v>Risk Score</x:v>
      </x:c>
      <x:c r="H4" s="12" t="str">
        <x:v>Rating (Lab)</x:v>
      </x:c>
      <x:c r="I4" s="12" t="str">
        <x:v>Risk Response</x:v>
      </x:c>
      <x:c r="J4" s="12" t="str">
        <x:v>Recommended Safeguards</x:v>
      </x:c>
      <x:c r="K4" s="12" t="str">
        <x:v>Priority / Rationale</x:v>
      </x:c>
      <x:c r="L4" s="12" t="str">
        <x:v>Implementation Status</x:v>
      </x:c>
    </x:row>
    <x:row r="5" ht="92" customHeight="1">
      <x:c r="A5" s="16" t="str">
        <x:v>R-001</x:v>
      </x:c>
      <x:c r="B5" s="16" t="str">
        <x:v>Use of personal devices for company work</x:v>
      </x:c>
      <x:c r="C5" s="16" t="str">
        <x:v>Customer database; company systems</x:v>
      </x:c>
      <x:c r="D5" s="16" t="str">
        <x:v>Unmanaged personal computers may lack required security configurations, monitoring, and updates.</x:v>
      </x:c>
      <x:c r="E5" s="18" t="n">
        <x:v>2</x:v>
      </x:c>
      <x:c r="F5" s="18" t="n">
        <x:v>3</x:v>
      </x:c>
      <x:c r="G5" s="18" t="n">
        <x:f>E5*F5</x:f>
        <x:v>6</x:v>
      </x:c>
      <x:c r="H5" s="18" t="str">
        <x:v>High</x:v>
      </x:c>
      <x:c r="I5" s="18" t="str">
        <x:v>Avoid</x:v>
      </x:c>
      <x:c r="J5" s="16" t="str">
        <x:v>Prohibit unmanaged personal devices; provide approved company-managed devices.</x:v>
      </x:c>
      <x:c r="K5" s="16" t="str">
        <x:v>Score 6; potential exposure of sensitive customer information.</x:v>
      </x:c>
      <x:c r="L5" s="16" t="str">
        <x:v>Recommended; not verified</x:v>
      </x:c>
    </x:row>
    <x:row r="6" ht="92" customHeight="1">
      <x:c r="A6" s="16" t="str">
        <x:v>R-002</x:v>
      </x:c>
      <x:c r="B6" s="16" t="str">
        <x:v>Insecure remote access</x:v>
      </x:c>
      <x:c r="C6" s="16" t="str">
        <x:v>Customer database; internal systems</x:v>
      </x:c>
      <x:c r="D6" s="16" t="str">
        <x:v>Employees connect through home and public Wi-Fi; weak access controls or compromised credentials may permit intrusion.</x:v>
      </x:c>
      <x:c r="E6" s="18" t="n">
        <x:v>3</x:v>
      </x:c>
      <x:c r="F6" s="18" t="n">
        <x:v>3</x:v>
      </x:c>
      <x:c r="G6" s="18" t="n">
        <x:f>E6*F6</x:f>
        <x:v>9</x:v>
      </x:c>
      <x:c r="H6" s="18" t="str">
        <x:v>High</x:v>
      </x:c>
      <x:c r="I6" s="18" t="str">
        <x:v>Mitigate</x:v>
      </x:c>
      <x:c r="J6" s="16" t="str">
        <x:v>Require company-managed VPN, MFA, endpoint protection, and regular patching.</x:v>
      </x:c>
      <x:c r="K6" s="16" t="str">
        <x:v>Score 9; immediate attention recommended.</x:v>
      </x:c>
      <x:c r="L6" s="16" t="str">
        <x:v>Recommended; not verified</x:v>
      </x:c>
    </x:row>
    <x:row r="7" ht="92" customHeight="1">
      <x:c r="A7" s="16" t="str">
        <x:v>R-003</x:v>
      </x:c>
      <x:c r="B7" s="16" t="str">
        <x:v>Phishing and credential theft</x:v>
      </x:c>
      <x:c r="C7" s="16" t="str">
        <x:v>Employee email accounts; customer database</x:v>
      </x:c>
      <x:c r="D7" s="16" t="str">
        <x:v>Fraudulent emails and inadequate phishing-awareness training led to compromised credentials and unauthorized access.</x:v>
      </x:c>
      <x:c r="E7" s="18" t="n">
        <x:v>3</x:v>
      </x:c>
      <x:c r="F7" s="18" t="n">
        <x:v>3</x:v>
      </x:c>
      <x:c r="G7" s="18" t="n">
        <x:f>E7*F7</x:f>
        <x:v>9</x:v>
      </x:c>
      <x:c r="H7" s="18" t="str">
        <x:v>High</x:v>
      </x:c>
      <x:c r="I7" s="18" t="str">
        <x:v>Mitigate</x:v>
      </x:c>
      <x:c r="J7" s="16" t="str">
        <x:v>Mandatory phishing-awareness training, MFA, and a formal phishing-email reporting process.</x:v>
      </x:c>
      <x:c r="K7" s="16" t="str">
        <x:v>Score 9; prioritized due to compromise described in the case.</x:v>
      </x:c>
      <x:c r="L7" s="16" t="str">
        <x:v>Recommended; not verified</x:v>
      </x:c>
    </x:row>
  </x:sheetData>
  <x:mergeCells>
    <x:mergeCell ref="A1:L1"/>
    <x:mergeCell ref="A2:L2"/>
  </x:mergeCells>
  <x:conditionalFormatting sqref="G5:G7">
    <x:cfRule type="dataBar" priority="1">
      <x:dataBar>
        <x:cfvo type="min"/>
        <x:cfvo type="max"/>
        <x:color rgb="FFCB8B37"/>
      </x:dataBar>
      <x:extLst>
        <x:ext xmlns:x14="http://schemas.microsoft.com/office/spreadsheetml/2009/9/main" uri="{B025F937-C7B1-47D3-B67F-A62EFF666E3E}">
          <x14:id>{286EABED-4A31-65FE-C310-E99AFBE89E71}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86EABED-4A31-65FE-C310-E99AFBE89E71}">
            <x14:dataBar gradient="1">
              <x14:cfvo type="min"/>
              <x14:cfvo type="max"/>
              <x14:fillColor rgb="FFCB8B37"/>
            </x14:dataBar>
          </x14:cfRule>
          <xm:sqref>G5:G7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5" hidden="0" customWidth="1"/>
  </x:cols>
  <x:sheetData>
    <x:row r="1" ht="36" customHeight="1">
      <x:c r="A1" s="20" t="str">
        <x:v>BLUE HARBOR SOLUTIONS | ASSESSMENT METHODOLOGY</x:v>
      </x:c>
      <x:c r="B1" s="20"/>
      <x:c r="C1" s="20"/>
      <x:c r="D1" s="20"/>
      <x:c r="E1" s="20"/>
      <x:c r="F1" s="20"/>
    </x:row>
    <x:row r="3" ht="38" customHeight="1">
      <x:c r="A3" s="22" t="str">
        <x:v>Purpose</x:v>
      </x:c>
      <x:c r="B3" s="16" t="str">
        <x:v>Document risks and proposed treatments from the fictional hybrid/remote-work case study.</x:v>
      </x:c>
    </x:row>
    <x:row r="4" ht="38" customHeight="1">
      <x:c r="A4" s="22" t="str">
        <x:v>Scoring</x:v>
      </x:c>
      <x:c r="B4" s="16" t="str">
        <x:v>Likelihood (1–3) × Impact (1–3) = Risk Score (1–9).</x:v>
      </x:c>
    </x:row>
    <x:row r="5" ht="38" customHeight="1">
      <x:c r="A5" s="22" t="str">
        <x:v>Scale</x:v>
      </x:c>
      <x:c r="B5" s="16" t="str">
        <x:v>1 = Low; 2 = Moderate; 3 = High for each dimension.</x:v>
      </x:c>
    </x:row>
    <x:row r="6" ht="38" customHeight="1">
      <x:c r="A6" s="22" t="str">
        <x:v>Risk rating</x:v>
      </x:c>
      <x:c r="B6" s="16" t="str">
        <x:v>The original lab explicitly rated scores 6 and 9 as High. No additional threshold bands are assumed.</x:v>
      </x:c>
    </x:row>
    <x:row r="7" ht="38" customHeight="1">
      <x:c r="A7" s="22" t="str">
        <x:v>Priority</x:v>
      </x:c>
      <x:c r="B7" s="16" t="str">
        <x:v>Phishing and credential theft prioritized in the original lab because compromise had already occurred.</x:v>
      </x:c>
    </x:row>
    <x:row r="8" ht="38" customHeight="1">
      <x:c r="A8" s="22" t="str">
        <x:v>Status</x:v>
      </x:c>
      <x:c r="B8" s="16" t="str">
        <x:v>All safeguards are recommendations; no real-world implementation or effectiveness testing occurred.</x:v>
      </x:c>
    </x:row>
    <x:row r="9" ht="38" customHeight="1">
      <x:c r="A9" s="22" t="str">
        <x:v>Source</x:v>
      </x:c>
      <x:c r="B9" s="16" t="str">
        <x:v>User-provided Case Study Lab 1.docx, Sections 1–3 (ODU graduate coursework).</x:v>
      </x:c>
    </x:row>
    <x:row r="10" ht="38" customHeight="1">
      <x:c r="A10" s="22" t="str">
        <x:v>Disclaimer</x:v>
      </x:c>
      <x:c r="B10" s="16" t="str">
        <x:v>Fictional academic scenario; not a live security assessment.</x:v>
      </x:c>
    </x:row>
    <x:row r="11" ht="38" customHeight="1">
      <x:c r="A11" s="22" t="str">
        <x:v>Future extension</x:v>
      </x:c>
      <x:c r="B11" s="16" t="str">
        <x:v>Possible audit evidence and residual risk estimates may be added later, clearly labeled as new analysis.</x:v>
      </x:c>
    </x:row>
  </x:sheetData>
  <x:mergeCells>
    <x:mergeCell ref="A1:F1"/>
  </x:mergeCells>
  <x:pageMargins left="0.7" right="0.7" top="0.75" bottom="0.75" header="0.3" footer="0.3"/>
</x:worksheet>
</file>